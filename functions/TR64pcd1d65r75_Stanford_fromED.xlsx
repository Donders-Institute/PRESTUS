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O:\IGT\Technique\"/>
    </mc:Choice>
  </mc:AlternateContent>
  <xr:revisionPtr revIDLastSave="0" documentId="8_{5729F40A-640E-496F-B4C9-47EBB0CE8D30}" xr6:coauthVersionLast="47" xr6:coauthVersionMax="47" xr10:uidLastSave="{00000000-0000-0000-0000-000000000000}"/>
  <bookViews>
    <workbookView xWindow="3405" yWindow="3780" windowWidth="23670" windowHeight="12735" xr2:uid="{00000000-000D-0000-FFFF-FFFF00000000}"/>
  </bookViews>
  <sheets>
    <sheet name="TR64pcd1" sheetId="3" r:id="rId1"/>
  </sheets>
  <calcPr calcId="181029"/>
</workbook>
</file>

<file path=xl/calcChain.xml><?xml version="1.0" encoding="utf-8"?>
<calcChain xmlns="http://schemas.openxmlformats.org/spreadsheetml/2006/main">
  <c r="N15" i="3" l="1"/>
  <c r="R14" i="3"/>
  <c r="O14" i="3"/>
  <c r="P14" i="3"/>
  <c r="Q14" i="3"/>
  <c r="N14" i="3"/>
  <c r="U65" i="3"/>
  <c r="T65" i="3"/>
  <c r="S65" i="3"/>
  <c r="U64" i="3"/>
  <c r="T64" i="3"/>
  <c r="S64" i="3"/>
  <c r="U63" i="3"/>
  <c r="T63" i="3"/>
  <c r="S63" i="3"/>
  <c r="U62" i="3"/>
  <c r="T62" i="3"/>
  <c r="S62" i="3"/>
  <c r="U61" i="3"/>
  <c r="T61" i="3"/>
  <c r="S61" i="3"/>
  <c r="U60" i="3"/>
  <c r="T60" i="3"/>
  <c r="S60" i="3"/>
  <c r="U59" i="3"/>
  <c r="T59" i="3"/>
  <c r="S59" i="3"/>
  <c r="U58" i="3"/>
  <c r="T58" i="3"/>
  <c r="S58" i="3"/>
  <c r="U57" i="3"/>
  <c r="T57" i="3"/>
  <c r="S57" i="3"/>
  <c r="U56" i="3"/>
  <c r="T56" i="3"/>
  <c r="S56" i="3"/>
  <c r="U55" i="3"/>
  <c r="T55" i="3"/>
  <c r="S55" i="3"/>
  <c r="U54" i="3"/>
  <c r="T54" i="3"/>
  <c r="S54" i="3"/>
  <c r="U53" i="3"/>
  <c r="T53" i="3"/>
  <c r="S53" i="3"/>
  <c r="U52" i="3"/>
  <c r="T52" i="3"/>
  <c r="S52" i="3"/>
  <c r="U51" i="3"/>
  <c r="T51" i="3"/>
  <c r="S51" i="3"/>
  <c r="U50" i="3"/>
  <c r="T50" i="3"/>
  <c r="S50" i="3"/>
  <c r="U49" i="3"/>
  <c r="T49" i="3"/>
  <c r="S49" i="3"/>
  <c r="U48" i="3"/>
  <c r="T48" i="3"/>
  <c r="S48" i="3"/>
  <c r="U47" i="3"/>
  <c r="T47" i="3"/>
  <c r="S47" i="3"/>
  <c r="U46" i="3"/>
  <c r="T46" i="3"/>
  <c r="S46" i="3"/>
  <c r="U45" i="3"/>
  <c r="T45" i="3"/>
  <c r="S45" i="3"/>
  <c r="U44" i="3"/>
  <c r="T44" i="3"/>
  <c r="S44" i="3"/>
  <c r="U43" i="3"/>
  <c r="T43" i="3"/>
  <c r="S43" i="3"/>
  <c r="U42" i="3"/>
  <c r="T42" i="3"/>
  <c r="S42" i="3"/>
  <c r="U41" i="3"/>
  <c r="T41" i="3"/>
  <c r="S41" i="3"/>
  <c r="U40" i="3"/>
  <c r="T40" i="3"/>
  <c r="S40" i="3"/>
  <c r="U39" i="3"/>
  <c r="T39" i="3"/>
  <c r="S39" i="3"/>
  <c r="U38" i="3"/>
  <c r="T38" i="3"/>
  <c r="S38" i="3"/>
  <c r="U37" i="3"/>
  <c r="T37" i="3"/>
  <c r="S37" i="3"/>
  <c r="U36" i="3"/>
  <c r="T36" i="3"/>
  <c r="S36" i="3"/>
  <c r="U35" i="3"/>
  <c r="T35" i="3"/>
  <c r="S35" i="3"/>
  <c r="U34" i="3"/>
  <c r="T34" i="3"/>
  <c r="S34" i="3"/>
  <c r="U33" i="3"/>
  <c r="T33" i="3"/>
  <c r="S33" i="3"/>
  <c r="U32" i="3"/>
  <c r="T32" i="3"/>
  <c r="S32" i="3"/>
  <c r="U31" i="3"/>
  <c r="T31" i="3"/>
  <c r="S31" i="3"/>
  <c r="U30" i="3"/>
  <c r="T30" i="3"/>
  <c r="S30" i="3"/>
  <c r="U29" i="3"/>
  <c r="T29" i="3"/>
  <c r="S29" i="3"/>
  <c r="U28" i="3"/>
  <c r="T28" i="3"/>
  <c r="S28" i="3"/>
  <c r="U27" i="3"/>
  <c r="T27" i="3"/>
  <c r="S27" i="3"/>
  <c r="U26" i="3"/>
  <c r="T26" i="3"/>
  <c r="S26" i="3"/>
  <c r="U25" i="3"/>
  <c r="T25" i="3"/>
  <c r="S25" i="3"/>
  <c r="U24" i="3"/>
  <c r="T24" i="3"/>
  <c r="S24" i="3"/>
  <c r="U23" i="3"/>
  <c r="T23" i="3"/>
  <c r="S23" i="3"/>
  <c r="U22" i="3"/>
  <c r="T22" i="3"/>
  <c r="S22" i="3"/>
  <c r="U21" i="3"/>
  <c r="T21" i="3"/>
  <c r="S21" i="3"/>
  <c r="U20" i="3"/>
  <c r="T20" i="3"/>
  <c r="S20" i="3"/>
  <c r="U19" i="3"/>
  <c r="T19" i="3"/>
  <c r="S19" i="3"/>
  <c r="U18" i="3"/>
  <c r="T18" i="3"/>
  <c r="S18" i="3"/>
  <c r="U17" i="3"/>
  <c r="T17" i="3"/>
  <c r="S17" i="3"/>
  <c r="U16" i="3"/>
  <c r="T16" i="3"/>
  <c r="S16" i="3"/>
  <c r="S2" i="3"/>
  <c r="T2" i="3"/>
  <c r="U2" i="3"/>
  <c r="S3" i="3"/>
  <c r="T3" i="3"/>
  <c r="U3" i="3"/>
  <c r="S4" i="3"/>
  <c r="T4" i="3"/>
  <c r="U4" i="3"/>
  <c r="S5" i="3"/>
  <c r="T5" i="3"/>
  <c r="U5" i="3"/>
  <c r="S6" i="3"/>
  <c r="T6" i="3"/>
  <c r="U6" i="3"/>
  <c r="S7" i="3"/>
  <c r="T7" i="3"/>
  <c r="U7" i="3"/>
  <c r="S8" i="3"/>
  <c r="T8" i="3"/>
  <c r="U8" i="3"/>
  <c r="S9" i="3"/>
  <c r="T9" i="3"/>
  <c r="U9" i="3"/>
  <c r="S10" i="3"/>
  <c r="T10" i="3"/>
  <c r="U10" i="3"/>
  <c r="S11" i="3"/>
  <c r="T11" i="3"/>
  <c r="U11" i="3"/>
  <c r="S12" i="3"/>
  <c r="T12" i="3"/>
  <c r="U12" i="3"/>
  <c r="S13" i="3"/>
  <c r="T13" i="3"/>
  <c r="U13" i="3"/>
  <c r="S14" i="3"/>
  <c r="T14" i="3"/>
  <c r="U14" i="3"/>
  <c r="S15" i="3"/>
  <c r="T15" i="3"/>
  <c r="U15" i="3"/>
  <c r="N11" i="3" l="1"/>
</calcChain>
</file>

<file path=xl/sharedStrings.xml><?xml version="1.0" encoding="utf-8"?>
<sst xmlns="http://schemas.openxmlformats.org/spreadsheetml/2006/main" count="30" uniqueCount="23">
  <si>
    <t>R</t>
  </si>
  <si>
    <t>theta</t>
  </si>
  <si>
    <t>phi</t>
  </si>
  <si>
    <t>X</t>
  </si>
  <si>
    <t>Y</t>
  </si>
  <si>
    <t>Z</t>
  </si>
  <si>
    <t>Npcd</t>
  </si>
  <si>
    <t>Diameter</t>
  </si>
  <si>
    <t>Radius of Curvature</t>
  </si>
  <si>
    <t>nPcds</t>
  </si>
  <si>
    <t>pcd Spacing</t>
  </si>
  <si>
    <t>pcd Size</t>
  </si>
  <si>
    <t>nEls</t>
  </si>
  <si>
    <t>element Spacing</t>
  </si>
  <si>
    <t>element Size</t>
  </si>
  <si>
    <t>Nel</t>
  </si>
  <si>
    <t>R back</t>
  </si>
  <si>
    <t>Thickness [mm]</t>
  </si>
  <si>
    <t>Frequency</t>
  </si>
  <si>
    <t>transducer Freq [MHz]</t>
  </si>
  <si>
    <t>Verif X</t>
  </si>
  <si>
    <t>Verif Y</t>
  </si>
  <si>
    <t>Verif 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</si>
</sst>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"/>
    <numFmt numFmtId="166" formatCode="#,##0.00000"/>
  </numFmts>
  <fonts count="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4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3" fillId="0" borderId="0" xfId="1"/>
    <xf numFmtId="164" fontId="3" fillId="0" borderId="0" xfId="1" applyNumberFormat="1"/>
    <xf numFmtId="0" fontId="5" fillId="0" borderId="0" xfId="1" applyFont="1" applyAlignment="1">
      <alignment horizontal="center"/>
    </xf>
    <xf numFmtId="166" fontId="5" fillId="0" borderId="0" xfId="1" applyNumberFormat="1" applyFont="1" applyAlignment="1">
      <alignment horizontal="center"/>
    </xf>
    <xf numFmtId="0" fontId="2" fillId="0" borderId="0" xfId="1" applyFont="1"/>
    <xf numFmtId="165" fontId="3" fillId="0" borderId="0" xfId="1" applyNumberFormat="1"/>
    <xf numFmtId="0" fontId="1" fillId="0" borderId="0" xfId="1" applyFont="1"/>
  </cellXfs>
  <cellStyles count="2">
    <cellStyle name="Normal" xfId="0" builtinId="0"/>
    <cellStyle name="Normal 2" xfId="1" xr:uid="{00000000-0005-0000-0000-000001000000}"/>
  </cellStyles>
  <dxfs count="1"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95251</xdr:colOff>
      <xdr:row>16</xdr:row>
      <xdr:rowOff>4014</xdr:rowOff>
    </xdr:from>
    <xdr:to>
      <xdr:col>17</xdr:col>
      <xdr:colOff>552450</xdr:colOff>
      <xdr:row>43</xdr:row>
      <xdr:rowOff>65483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E2CE66-1AA7-8EF8-66D9-329306B024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82101" y="3052014"/>
          <a:ext cx="5210174" cy="52049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1"/>
  <sheetViews>
    <sheetView tabSelected="1" workbookViewId="0">
      <selection activeCell="L7" sqref="L7"/>
    </sheetView>
  </sheetViews>
  <sheetFormatPr defaultRowHeight="15" x14ac:dyDescent="0.25"/>
  <cols>
    <col min="1" max="1" width="9.140625" style="4"/>
    <col min="2" max="11" width="12.7109375" style="4" customWidth="1"/>
    <col min="12" max="12" width="9.140625" style="4"/>
    <col min="13" max="13" width="25.5703125" style="4" customWidth="1"/>
    <col min="14" max="16384" width="9.140625" style="4"/>
  </cols>
  <sheetData>
    <row r="1" spans="1:21" x14ac:dyDescent="0.25">
      <c r="A1" s="6" t="s">
        <v>15</v>
      </c>
      <c r="B1" s="6" t="s">
        <v>3</v>
      </c>
      <c r="C1" s="6" t="s">
        <v>4</v>
      </c>
      <c r="D1" s="6" t="s">
        <v>5</v>
      </c>
      <c r="E1" s="6" t="s">
        <v>0</v>
      </c>
      <c r="F1" s="6" t="s">
        <v>1</v>
      </c>
      <c r="G1" s="6" t="s">
        <v>2</v>
      </c>
      <c r="H1" s="1"/>
      <c r="I1" s="1"/>
      <c r="J1" s="1"/>
      <c r="K1" s="1"/>
      <c r="S1" s="6" t="s">
        <v>20</v>
      </c>
      <c r="T1" s="6" t="s">
        <v>21</v>
      </c>
      <c r="U1" s="6" t="s">
        <v>22</v>
      </c>
    </row>
    <row r="2" spans="1:21" x14ac:dyDescent="0.25">
      <c r="A2">
        <v>0</v>
      </c>
      <c r="B2" s="3">
        <v>9.1751500000000004</v>
      </c>
      <c r="C2" s="3">
        <v>-1.21377</v>
      </c>
      <c r="D2" s="3">
        <v>74.426770000000005</v>
      </c>
      <c r="E2" s="3">
        <v>75</v>
      </c>
      <c r="F2" s="3">
        <v>7.0884299999999998</v>
      </c>
      <c r="G2" s="3">
        <v>352.46418999999997</v>
      </c>
      <c r="H2" s="2"/>
      <c r="I2" s="3"/>
      <c r="J2" s="3"/>
      <c r="K2" s="3"/>
      <c r="M2" s="4" t="s">
        <v>14</v>
      </c>
      <c r="N2" s="5">
        <v>6</v>
      </c>
      <c r="S2" s="9">
        <f>ROUND(E2*SIN(RADIANS(F2))*COS(RADIANS(G2)),5)</f>
        <v>9.1751500000000004</v>
      </c>
      <c r="T2" s="4">
        <f>ROUND(E2*SIN(RADIANS(F2))*SIN(RADIANS(G2)),5)</f>
        <v>-1.21377</v>
      </c>
      <c r="U2" s="4">
        <f>ROUND(E2*COS(RADIANS(F2)),5)</f>
        <v>74.426770000000005</v>
      </c>
    </row>
    <row r="3" spans="1:21" x14ac:dyDescent="0.25">
      <c r="A3">
        <v>1</v>
      </c>
      <c r="B3" s="3">
        <v>5.2637499999999999</v>
      </c>
      <c r="C3" s="3">
        <v>4.2303199999999999</v>
      </c>
      <c r="D3" s="3">
        <v>74.695359999999994</v>
      </c>
      <c r="E3" s="3">
        <v>75</v>
      </c>
      <c r="F3" s="3">
        <v>5.1658900000000001</v>
      </c>
      <c r="G3" s="3">
        <v>38.78781</v>
      </c>
      <c r="H3" s="2"/>
      <c r="I3" s="3"/>
      <c r="J3" s="3"/>
      <c r="K3" s="3"/>
      <c r="M3" s="4" t="s">
        <v>13</v>
      </c>
      <c r="N3" s="5">
        <v>0.5</v>
      </c>
      <c r="S3" s="9">
        <f>ROUND(E3*SIN(RADIANS(F3))*COS(RADIANS(G3)),5)</f>
        <v>5.2637499999999999</v>
      </c>
      <c r="T3" s="4">
        <f>ROUND(E3*SIN(RADIANS(F3))*SIN(RADIANS(G3)),5)</f>
        <v>4.2303199999999999</v>
      </c>
      <c r="U3" s="4">
        <f>ROUND(E3*COS(RADIANS(F3)),5)</f>
        <v>74.695359999999994</v>
      </c>
    </row>
    <row r="4" spans="1:21" x14ac:dyDescent="0.25">
      <c r="A4">
        <v>2</v>
      </c>
      <c r="B4" s="3">
        <v>-1.85063</v>
      </c>
      <c r="C4" s="3">
        <v>9.0415200000000002</v>
      </c>
      <c r="D4" s="3">
        <v>74.430009999999996</v>
      </c>
      <c r="E4" s="3">
        <v>75</v>
      </c>
      <c r="F4" s="3">
        <v>7.0683299999999996</v>
      </c>
      <c r="G4" s="3">
        <v>101.56762999999999</v>
      </c>
      <c r="H4" s="2"/>
      <c r="I4" s="3"/>
      <c r="J4" s="3"/>
      <c r="K4" s="3"/>
      <c r="M4" s="4" t="s">
        <v>12</v>
      </c>
      <c r="N4" s="4">
        <v>64</v>
      </c>
      <c r="S4" s="9">
        <f t="shared" ref="S4:S15" si="0">ROUND(E4*SIN(RADIANS(F4))*COS(RADIANS(G4)),5)</f>
        <v>-1.85063</v>
      </c>
      <c r="T4" s="4">
        <f t="shared" ref="T4:T15" si="1">ROUND(E4*SIN(RADIANS(F4))*SIN(RADIANS(G4)),5)</f>
        <v>9.0415200000000002</v>
      </c>
      <c r="U4" s="4">
        <f t="shared" ref="U4:U15" si="2">ROUND(E4*COS(RADIANS(F4)),5)</f>
        <v>74.430009999999996</v>
      </c>
    </row>
    <row r="5" spans="1:21" x14ac:dyDescent="0.25">
      <c r="A5">
        <v>3</v>
      </c>
      <c r="B5" s="3">
        <v>-7.2370200000000002</v>
      </c>
      <c r="C5" s="3">
        <v>4.90787</v>
      </c>
      <c r="D5" s="3">
        <v>74.488510000000005</v>
      </c>
      <c r="E5" s="3">
        <v>75</v>
      </c>
      <c r="F5" s="3">
        <v>6.6953300000000002</v>
      </c>
      <c r="G5" s="3">
        <v>145.85637</v>
      </c>
      <c r="H5" s="2"/>
      <c r="I5" s="3"/>
      <c r="J5" s="3"/>
      <c r="K5" s="3"/>
      <c r="M5" s="4" t="s">
        <v>11</v>
      </c>
      <c r="N5" s="5">
        <v>6</v>
      </c>
      <c r="S5" s="9">
        <f t="shared" si="0"/>
        <v>-7.2370200000000002</v>
      </c>
      <c r="T5" s="4">
        <f t="shared" si="1"/>
        <v>4.90787</v>
      </c>
      <c r="U5" s="4">
        <f t="shared" si="2"/>
        <v>74.488510000000005</v>
      </c>
    </row>
    <row r="6" spans="1:21" x14ac:dyDescent="0.25">
      <c r="A6">
        <v>4</v>
      </c>
      <c r="B6" s="3">
        <v>-7.6234200000000003</v>
      </c>
      <c r="C6" s="3">
        <v>-2.1873499999999999</v>
      </c>
      <c r="D6" s="3">
        <v>74.579480000000004</v>
      </c>
      <c r="E6" s="3">
        <v>75</v>
      </c>
      <c r="F6" s="3">
        <v>6.0701999999999998</v>
      </c>
      <c r="G6" s="3">
        <v>196.00948</v>
      </c>
      <c r="H6" s="2"/>
      <c r="I6" s="3"/>
      <c r="J6" s="3"/>
      <c r="K6" s="3"/>
      <c r="M6" s="4" t="s">
        <v>10</v>
      </c>
      <c r="N6" s="5">
        <v>0.5</v>
      </c>
      <c r="S6" s="9">
        <f t="shared" si="0"/>
        <v>-7.6234200000000003</v>
      </c>
      <c r="T6" s="4">
        <f t="shared" si="1"/>
        <v>-2.1873499999999999</v>
      </c>
      <c r="U6" s="4">
        <f t="shared" si="2"/>
        <v>74.579480000000004</v>
      </c>
    </row>
    <row r="7" spans="1:21" x14ac:dyDescent="0.25">
      <c r="A7">
        <v>5</v>
      </c>
      <c r="B7" s="3">
        <v>-1.9572499999999999</v>
      </c>
      <c r="C7" s="3">
        <v>-7.1011800000000003</v>
      </c>
      <c r="D7" s="3">
        <v>74.637410000000003</v>
      </c>
      <c r="E7" s="3">
        <v>75</v>
      </c>
      <c r="F7" s="3">
        <v>5.6362800000000002</v>
      </c>
      <c r="G7" s="3">
        <v>254.59055000000001</v>
      </c>
      <c r="H7" s="2"/>
      <c r="I7" s="3"/>
      <c r="J7" s="3"/>
      <c r="K7" s="3"/>
      <c r="M7" s="4" t="s">
        <v>9</v>
      </c>
      <c r="N7" s="4">
        <v>1</v>
      </c>
      <c r="S7" s="9">
        <f t="shared" si="0"/>
        <v>-1.9572499999999999</v>
      </c>
      <c r="T7" s="4">
        <f t="shared" si="1"/>
        <v>-7.1011800000000003</v>
      </c>
      <c r="U7" s="4">
        <f t="shared" si="2"/>
        <v>74.637410000000003</v>
      </c>
    </row>
    <row r="8" spans="1:21" x14ac:dyDescent="0.25">
      <c r="A8">
        <v>6</v>
      </c>
      <c r="B8" s="3">
        <v>4.76023</v>
      </c>
      <c r="C8" s="3">
        <v>-7.7060000000000004</v>
      </c>
      <c r="D8" s="3">
        <v>74.451040000000006</v>
      </c>
      <c r="E8" s="3">
        <v>75</v>
      </c>
      <c r="F8" s="3">
        <v>6.9365199999999998</v>
      </c>
      <c r="G8" s="3">
        <v>301.70490999999998</v>
      </c>
      <c r="H8" s="2"/>
      <c r="I8" s="3"/>
      <c r="J8" s="3"/>
      <c r="K8" s="3"/>
      <c r="M8" s="4" t="s">
        <v>8</v>
      </c>
      <c r="N8" s="5">
        <v>75</v>
      </c>
      <c r="S8" s="9">
        <f t="shared" si="0"/>
        <v>4.7602399999999996</v>
      </c>
      <c r="T8" s="4">
        <f t="shared" si="1"/>
        <v>-7.7060000000000004</v>
      </c>
      <c r="U8" s="4">
        <f t="shared" si="2"/>
        <v>74.451040000000006</v>
      </c>
    </row>
    <row r="9" spans="1:21" x14ac:dyDescent="0.25">
      <c r="A9">
        <v>7</v>
      </c>
      <c r="B9" s="3">
        <v>13.08164</v>
      </c>
      <c r="C9" s="3">
        <v>6.8064</v>
      </c>
      <c r="D9" s="3">
        <v>73.536000000000001</v>
      </c>
      <c r="E9" s="3">
        <v>75</v>
      </c>
      <c r="F9" s="3">
        <v>11.3393</v>
      </c>
      <c r="G9" s="3">
        <v>27.488050000000001</v>
      </c>
      <c r="H9" s="2"/>
      <c r="I9" s="3"/>
      <c r="J9" s="3"/>
      <c r="K9" s="3"/>
      <c r="M9" s="4" t="s">
        <v>7</v>
      </c>
      <c r="N9" s="5">
        <v>65</v>
      </c>
      <c r="S9" s="9">
        <f t="shared" si="0"/>
        <v>13.08164</v>
      </c>
      <c r="T9" s="4">
        <f t="shared" si="1"/>
        <v>6.8064</v>
      </c>
      <c r="U9" s="4">
        <f t="shared" si="2"/>
        <v>73.536000000000001</v>
      </c>
    </row>
    <row r="10" spans="1:21" x14ac:dyDescent="0.25">
      <c r="A10">
        <v>8</v>
      </c>
      <c r="B10" s="3">
        <v>8.0156399999999994</v>
      </c>
      <c r="C10" s="3">
        <v>10.917059999999999</v>
      </c>
      <c r="D10" s="3">
        <v>73.766980000000004</v>
      </c>
      <c r="E10" s="3">
        <v>75</v>
      </c>
      <c r="F10" s="3">
        <v>10.40372</v>
      </c>
      <c r="G10" s="3">
        <v>53.71275</v>
      </c>
      <c r="H10" s="2"/>
      <c r="I10" s="3"/>
      <c r="J10" s="3"/>
      <c r="K10" s="3"/>
      <c r="M10" s="8" t="s">
        <v>19</v>
      </c>
      <c r="N10" s="5">
        <v>0.5</v>
      </c>
      <c r="S10" s="9">
        <f t="shared" si="0"/>
        <v>8.0156299999999998</v>
      </c>
      <c r="T10" s="4">
        <f t="shared" si="1"/>
        <v>10.917059999999999</v>
      </c>
      <c r="U10" s="4">
        <f t="shared" si="2"/>
        <v>73.766980000000004</v>
      </c>
    </row>
    <row r="11" spans="1:21" x14ac:dyDescent="0.25">
      <c r="A11">
        <v>9</v>
      </c>
      <c r="B11" s="3">
        <v>2.6068099999999998</v>
      </c>
      <c r="C11" s="3">
        <v>15.244490000000001</v>
      </c>
      <c r="D11" s="3">
        <v>73.388080000000002</v>
      </c>
      <c r="E11" s="3">
        <v>75</v>
      </c>
      <c r="F11" s="3">
        <v>11.90035</v>
      </c>
      <c r="G11" s="3">
        <v>80.296279999999996</v>
      </c>
      <c r="H11" s="2"/>
      <c r="I11" s="3"/>
      <c r="J11" s="3"/>
      <c r="K11" s="3"/>
      <c r="M11" s="4" t="s">
        <v>16</v>
      </c>
      <c r="N11" s="5">
        <f>N8+N15</f>
        <v>79.400000000000006</v>
      </c>
      <c r="S11" s="9">
        <f t="shared" si="0"/>
        <v>2.6068099999999998</v>
      </c>
      <c r="T11" s="4">
        <f t="shared" si="1"/>
        <v>15.244490000000001</v>
      </c>
      <c r="U11" s="4">
        <f t="shared" si="2"/>
        <v>73.388080000000002</v>
      </c>
    </row>
    <row r="12" spans="1:21" x14ac:dyDescent="0.25">
      <c r="A12">
        <v>10</v>
      </c>
      <c r="B12" s="3">
        <v>-4.6801399999999997</v>
      </c>
      <c r="C12" s="3">
        <v>16.315049999999999</v>
      </c>
      <c r="D12" s="3">
        <v>73.054199999999994</v>
      </c>
      <c r="E12" s="3">
        <v>75</v>
      </c>
      <c r="F12" s="3">
        <v>13.07977</v>
      </c>
      <c r="G12" s="3">
        <v>106.00608</v>
      </c>
      <c r="H12" s="2"/>
      <c r="I12" s="3"/>
      <c r="J12" s="3"/>
      <c r="K12" s="3"/>
      <c r="M12" s="4" t="s">
        <v>18</v>
      </c>
      <c r="N12" s="4">
        <v>0.65</v>
      </c>
      <c r="O12" s="4">
        <v>1.5</v>
      </c>
      <c r="P12" s="4">
        <v>2.5</v>
      </c>
      <c r="Q12" s="4">
        <v>3</v>
      </c>
      <c r="S12" s="9">
        <f t="shared" si="0"/>
        <v>-4.6801399999999997</v>
      </c>
      <c r="T12" s="4">
        <f t="shared" si="1"/>
        <v>16.315049999999999</v>
      </c>
      <c r="U12" s="4">
        <f t="shared" si="2"/>
        <v>73.054190000000006</v>
      </c>
    </row>
    <row r="13" spans="1:21" x14ac:dyDescent="0.25">
      <c r="A13">
        <v>11</v>
      </c>
      <c r="B13" s="3">
        <v>-11.58872</v>
      </c>
      <c r="C13" s="3">
        <v>11.399900000000001</v>
      </c>
      <c r="D13" s="3">
        <v>73.217100000000002</v>
      </c>
      <c r="E13" s="3">
        <v>75</v>
      </c>
      <c r="F13" s="3">
        <v>12.517989999999999</v>
      </c>
      <c r="G13" s="3">
        <v>135.47060999999999</v>
      </c>
      <c r="H13" s="2"/>
      <c r="I13" s="3"/>
      <c r="J13" s="3"/>
      <c r="K13" s="3"/>
      <c r="M13" s="4" t="s">
        <v>17</v>
      </c>
      <c r="N13" s="4">
        <v>3.3</v>
      </c>
      <c r="O13" s="4">
        <v>1.47</v>
      </c>
      <c r="P13" s="4">
        <v>0.87</v>
      </c>
      <c r="Q13" s="4">
        <v>0.73</v>
      </c>
      <c r="S13" s="9">
        <f t="shared" si="0"/>
        <v>-11.58873</v>
      </c>
      <c r="T13" s="4">
        <f t="shared" si="1"/>
        <v>11.399900000000001</v>
      </c>
      <c r="U13" s="4">
        <f t="shared" si="2"/>
        <v>73.217100000000002</v>
      </c>
    </row>
    <row r="14" spans="1:21" x14ac:dyDescent="0.25">
      <c r="A14">
        <v>12</v>
      </c>
      <c r="B14" s="3">
        <v>-14.860889999999999</v>
      </c>
      <c r="C14" s="3">
        <v>5.2964399999999996</v>
      </c>
      <c r="D14" s="3">
        <v>73.321910000000003</v>
      </c>
      <c r="E14" s="3">
        <v>75</v>
      </c>
      <c r="F14" s="3">
        <v>12.14306</v>
      </c>
      <c r="G14" s="3">
        <v>160.38388</v>
      </c>
      <c r="H14" s="2"/>
      <c r="I14" s="3"/>
      <c r="J14" s="3"/>
      <c r="K14" s="3"/>
      <c r="N14" s="4">
        <f>N13*N12</f>
        <v>2.145</v>
      </c>
      <c r="O14" s="4">
        <f t="shared" ref="O14:Q14" si="3">O13*O12</f>
        <v>2.2050000000000001</v>
      </c>
      <c r="P14" s="4">
        <f t="shared" si="3"/>
        <v>2.1749999999999998</v>
      </c>
      <c r="Q14" s="4">
        <f t="shared" si="3"/>
        <v>2.19</v>
      </c>
      <c r="R14" s="4">
        <f>AVERAGE(N14:P14)</f>
        <v>2.1749999999999998</v>
      </c>
      <c r="S14" s="9">
        <f t="shared" si="0"/>
        <v>-14.86088</v>
      </c>
      <c r="T14" s="4">
        <f t="shared" si="1"/>
        <v>5.29643</v>
      </c>
      <c r="U14" s="4">
        <f t="shared" si="2"/>
        <v>73.321910000000003</v>
      </c>
    </row>
    <row r="15" spans="1:21" x14ac:dyDescent="0.25">
      <c r="A15">
        <v>13</v>
      </c>
      <c r="B15" s="3">
        <v>-14.84342</v>
      </c>
      <c r="C15" s="3">
        <v>-1.80009</v>
      </c>
      <c r="D15" s="3">
        <v>73.494439999999997</v>
      </c>
      <c r="E15" s="3">
        <v>75</v>
      </c>
      <c r="F15" s="3">
        <v>11.49967</v>
      </c>
      <c r="G15" s="3">
        <v>186.91459</v>
      </c>
      <c r="H15" s="2"/>
      <c r="I15" s="3"/>
      <c r="J15" s="3"/>
      <c r="K15" s="3"/>
      <c r="M15" s="10" t="s">
        <v>17</v>
      </c>
      <c r="N15" s="4">
        <f>ROUND(R14/N10,1)</f>
        <v>4.4000000000000004</v>
      </c>
      <c r="S15" s="9">
        <f t="shared" si="0"/>
        <v>-14.84342</v>
      </c>
      <c r="T15" s="4">
        <f t="shared" si="1"/>
        <v>-1.80009</v>
      </c>
      <c r="U15" s="4">
        <f t="shared" si="2"/>
        <v>73.494439999999997</v>
      </c>
    </row>
    <row r="16" spans="1:21" x14ac:dyDescent="0.25">
      <c r="A16">
        <v>14</v>
      </c>
      <c r="B16" s="3">
        <v>-12.53593</v>
      </c>
      <c r="C16" s="3">
        <v>-8.9076199999999996</v>
      </c>
      <c r="D16" s="3">
        <v>73.406440000000003</v>
      </c>
      <c r="E16" s="3">
        <v>75</v>
      </c>
      <c r="F16" s="3">
        <v>11.83215</v>
      </c>
      <c r="G16" s="3">
        <v>215.39635000000001</v>
      </c>
      <c r="H16" s="2"/>
      <c r="I16" s="3"/>
      <c r="J16" s="3"/>
      <c r="K16" s="3"/>
      <c r="S16" s="9">
        <f t="shared" ref="S16:S65" si="4">ROUND(E16*SIN(RADIANS(F16))*COS(RADIANS(G16)),5)</f>
        <v>-12.53593</v>
      </c>
      <c r="T16" s="4">
        <f t="shared" ref="T16:T65" si="5">ROUND(E16*SIN(RADIANS(F16))*SIN(RADIANS(G16)),5)</f>
        <v>-8.9076199999999996</v>
      </c>
      <c r="U16" s="4">
        <f t="shared" ref="U16:U65" si="6">ROUND(E16*COS(RADIANS(F16)),5)</f>
        <v>73.406440000000003</v>
      </c>
    </row>
    <row r="17" spans="1:21" x14ac:dyDescent="0.25">
      <c r="A17">
        <v>15</v>
      </c>
      <c r="B17" s="3">
        <v>-7.3258599999999996</v>
      </c>
      <c r="C17" s="3">
        <v>-13.162929999999999</v>
      </c>
      <c r="D17" s="3">
        <v>73.471549999999993</v>
      </c>
      <c r="E17" s="3">
        <v>75</v>
      </c>
      <c r="F17" s="3">
        <v>11.58704</v>
      </c>
      <c r="G17" s="3">
        <v>240.90179000000001</v>
      </c>
      <c r="H17" s="2"/>
      <c r="I17" s="3"/>
      <c r="J17" s="3"/>
      <c r="K17" s="3"/>
      <c r="S17" s="9">
        <f t="shared" si="4"/>
        <v>-7.32585</v>
      </c>
      <c r="T17" s="4">
        <f t="shared" si="5"/>
        <v>-13.162929999999999</v>
      </c>
      <c r="U17" s="4">
        <f t="shared" si="6"/>
        <v>73.471549999999993</v>
      </c>
    </row>
    <row r="18" spans="1:21" x14ac:dyDescent="0.25">
      <c r="A18">
        <v>16</v>
      </c>
      <c r="B18" s="3">
        <v>-0.1424</v>
      </c>
      <c r="C18" s="3">
        <v>-13.32441</v>
      </c>
      <c r="D18" s="3">
        <v>73.80677</v>
      </c>
      <c r="E18" s="3">
        <v>75</v>
      </c>
      <c r="F18" s="3">
        <v>10.23401</v>
      </c>
      <c r="G18" s="3">
        <v>269.38767000000001</v>
      </c>
      <c r="H18" s="2"/>
      <c r="I18" s="3"/>
      <c r="J18" s="3"/>
      <c r="K18" s="3"/>
      <c r="S18" s="9">
        <f t="shared" si="4"/>
        <v>-0.14241000000000001</v>
      </c>
      <c r="T18" s="4">
        <f t="shared" si="5"/>
        <v>-13.32441</v>
      </c>
      <c r="U18" s="4">
        <f t="shared" si="6"/>
        <v>73.80677</v>
      </c>
    </row>
    <row r="19" spans="1:21" x14ac:dyDescent="0.25">
      <c r="A19">
        <v>17</v>
      </c>
      <c r="B19" s="3">
        <v>7.7375600000000002</v>
      </c>
      <c r="C19" s="3">
        <v>-14.55463</v>
      </c>
      <c r="D19" s="3">
        <v>73.166200000000003</v>
      </c>
      <c r="E19" s="3">
        <v>75</v>
      </c>
      <c r="F19" s="3">
        <v>12.696149999999999</v>
      </c>
      <c r="G19" s="3">
        <v>297.99608000000001</v>
      </c>
      <c r="H19" s="2"/>
      <c r="I19" s="3"/>
      <c r="J19" s="3"/>
      <c r="K19" s="3"/>
      <c r="S19" s="9">
        <f t="shared" si="4"/>
        <v>7.7375600000000002</v>
      </c>
      <c r="T19" s="4">
        <f t="shared" si="5"/>
        <v>-14.554639999999999</v>
      </c>
      <c r="U19" s="4">
        <f t="shared" si="6"/>
        <v>73.166200000000003</v>
      </c>
    </row>
    <row r="20" spans="1:21" x14ac:dyDescent="0.25">
      <c r="A20">
        <v>18</v>
      </c>
      <c r="B20" s="3">
        <v>12.58558</v>
      </c>
      <c r="C20" s="3">
        <v>-9.88368</v>
      </c>
      <c r="D20" s="3">
        <v>73.272890000000004</v>
      </c>
      <c r="E20" s="3">
        <v>75</v>
      </c>
      <c r="F20" s="3">
        <v>12.31982</v>
      </c>
      <c r="G20" s="3">
        <v>321.85682000000003</v>
      </c>
      <c r="H20" s="2"/>
      <c r="I20" s="3"/>
      <c r="J20" s="3"/>
      <c r="K20" s="3"/>
      <c r="S20" s="9">
        <f t="shared" si="4"/>
        <v>12.58558</v>
      </c>
      <c r="T20" s="4">
        <f t="shared" si="5"/>
        <v>-9.88368</v>
      </c>
      <c r="U20" s="4">
        <f t="shared" si="6"/>
        <v>73.272890000000004</v>
      </c>
    </row>
    <row r="21" spans="1:21" x14ac:dyDescent="0.25">
      <c r="A21">
        <v>19</v>
      </c>
      <c r="B21" s="3">
        <v>15.958320000000001</v>
      </c>
      <c r="C21" s="3">
        <v>0.68605000000000005</v>
      </c>
      <c r="D21" s="3">
        <v>73.279340000000005</v>
      </c>
      <c r="E21" s="3">
        <v>75</v>
      </c>
      <c r="F21" s="3">
        <v>12.2967</v>
      </c>
      <c r="G21" s="3">
        <v>2.4616500000000001</v>
      </c>
      <c r="H21" s="2"/>
      <c r="I21" s="3"/>
      <c r="J21" s="3"/>
      <c r="K21" s="3"/>
      <c r="S21" s="9">
        <f t="shared" si="4"/>
        <v>15.958320000000001</v>
      </c>
      <c r="T21" s="4">
        <f t="shared" si="5"/>
        <v>0.68605000000000005</v>
      </c>
      <c r="U21" s="4">
        <f t="shared" si="6"/>
        <v>73.279340000000005</v>
      </c>
    </row>
    <row r="22" spans="1:21" x14ac:dyDescent="0.25">
      <c r="A22">
        <v>20</v>
      </c>
      <c r="B22" s="3">
        <v>17.929110000000001</v>
      </c>
      <c r="C22" s="3">
        <v>13.47085</v>
      </c>
      <c r="D22" s="3">
        <v>71.568730000000002</v>
      </c>
      <c r="E22" s="3">
        <v>75</v>
      </c>
      <c r="F22" s="3">
        <v>17.398199999999999</v>
      </c>
      <c r="G22" s="3">
        <v>36.918979999999998</v>
      </c>
      <c r="H22" s="2"/>
      <c r="I22" s="3"/>
      <c r="J22" s="3"/>
      <c r="K22" s="3"/>
      <c r="S22" s="9">
        <f t="shared" si="4"/>
        <v>17.929120000000001</v>
      </c>
      <c r="T22" s="4">
        <f t="shared" si="5"/>
        <v>13.47085</v>
      </c>
      <c r="U22" s="4">
        <f t="shared" si="6"/>
        <v>71.568730000000002</v>
      </c>
    </row>
    <row r="23" spans="1:21" x14ac:dyDescent="0.25">
      <c r="A23">
        <v>21</v>
      </c>
      <c r="B23" s="3">
        <v>11.75231</v>
      </c>
      <c r="C23" s="3">
        <v>16.831219999999998</v>
      </c>
      <c r="D23" s="3">
        <v>72.135940000000005</v>
      </c>
      <c r="E23" s="3">
        <v>75</v>
      </c>
      <c r="F23" s="3">
        <v>15.885109999999999</v>
      </c>
      <c r="G23" s="3">
        <v>55.07555</v>
      </c>
      <c r="H23" s="2"/>
      <c r="I23" s="3"/>
      <c r="J23" s="3"/>
      <c r="K23" s="3"/>
      <c r="S23" s="9">
        <f t="shared" si="4"/>
        <v>11.75231</v>
      </c>
      <c r="T23" s="4">
        <f t="shared" si="5"/>
        <v>16.831219999999998</v>
      </c>
      <c r="U23" s="4">
        <f t="shared" si="6"/>
        <v>72.135940000000005</v>
      </c>
    </row>
    <row r="24" spans="1:21" x14ac:dyDescent="0.25">
      <c r="A24">
        <v>22</v>
      </c>
      <c r="B24" s="3">
        <v>3.8408799999999998</v>
      </c>
      <c r="C24" s="3">
        <v>22.901450000000001</v>
      </c>
      <c r="D24" s="3">
        <v>71.314589999999995</v>
      </c>
      <c r="E24" s="3">
        <v>75</v>
      </c>
      <c r="F24" s="3">
        <v>18.036169999999998</v>
      </c>
      <c r="G24" s="3">
        <v>80.479339999999993</v>
      </c>
      <c r="H24" s="2"/>
      <c r="I24" s="3"/>
      <c r="J24" s="3"/>
      <c r="K24" s="3"/>
      <c r="S24" s="9">
        <f t="shared" si="4"/>
        <v>3.8408799999999998</v>
      </c>
      <c r="T24" s="4">
        <f t="shared" si="5"/>
        <v>22.901450000000001</v>
      </c>
      <c r="U24" s="4">
        <f t="shared" si="6"/>
        <v>71.314589999999995</v>
      </c>
    </row>
    <row r="25" spans="1:21" x14ac:dyDescent="0.25">
      <c r="A25">
        <v>23</v>
      </c>
      <c r="B25" s="3">
        <v>-4.1298399999999997</v>
      </c>
      <c r="C25" s="3">
        <v>22.599609999999998</v>
      </c>
      <c r="D25" s="3">
        <v>71.394689999999997</v>
      </c>
      <c r="E25" s="3">
        <v>75</v>
      </c>
      <c r="F25" s="3">
        <v>17.837479999999999</v>
      </c>
      <c r="G25" s="3">
        <v>100.35593</v>
      </c>
      <c r="H25" s="2"/>
      <c r="I25" s="3"/>
      <c r="J25" s="3"/>
      <c r="K25" s="3"/>
      <c r="S25" s="9">
        <f t="shared" si="4"/>
        <v>-4.1298399999999997</v>
      </c>
      <c r="T25" s="4">
        <f t="shared" si="5"/>
        <v>22.599609999999998</v>
      </c>
      <c r="U25" s="4">
        <f t="shared" si="6"/>
        <v>71.394689999999997</v>
      </c>
    </row>
    <row r="26" spans="1:21" x14ac:dyDescent="0.25">
      <c r="A26">
        <v>24</v>
      </c>
      <c r="B26" s="3">
        <v>-10.477</v>
      </c>
      <c r="C26" s="3">
        <v>20.46218</v>
      </c>
      <c r="D26" s="3">
        <v>71.39</v>
      </c>
      <c r="E26" s="3">
        <v>75</v>
      </c>
      <c r="F26" s="3">
        <v>17.84918</v>
      </c>
      <c r="G26" s="3">
        <v>117.11326</v>
      </c>
      <c r="H26" s="2"/>
      <c r="I26" s="3"/>
      <c r="J26" s="3"/>
      <c r="K26" s="3"/>
      <c r="S26" s="9">
        <f t="shared" si="4"/>
        <v>-10.477</v>
      </c>
      <c r="T26" s="4">
        <f t="shared" si="5"/>
        <v>20.46217</v>
      </c>
      <c r="U26" s="4">
        <f t="shared" si="6"/>
        <v>71.39</v>
      </c>
    </row>
    <row r="27" spans="1:21" x14ac:dyDescent="0.25">
      <c r="A27">
        <v>25</v>
      </c>
      <c r="B27" s="3">
        <v>-15.92944</v>
      </c>
      <c r="C27" s="3">
        <v>16.13195</v>
      </c>
      <c r="D27" s="3">
        <v>71.491349999999997</v>
      </c>
      <c r="E27" s="3">
        <v>75</v>
      </c>
      <c r="F27" s="3">
        <v>17.594819999999999</v>
      </c>
      <c r="G27" s="3">
        <v>134.63810000000001</v>
      </c>
      <c r="H27" s="2"/>
      <c r="I27" s="3"/>
      <c r="J27" s="3"/>
      <c r="K27" s="3"/>
      <c r="S27" s="9">
        <f t="shared" si="4"/>
        <v>-15.92944</v>
      </c>
      <c r="T27" s="4">
        <f t="shared" si="5"/>
        <v>16.13195</v>
      </c>
      <c r="U27" s="4">
        <f t="shared" si="6"/>
        <v>71.491349999999997</v>
      </c>
    </row>
    <row r="28" spans="1:21" x14ac:dyDescent="0.25">
      <c r="A28">
        <v>26</v>
      </c>
      <c r="B28" s="3">
        <v>-19.800509999999999</v>
      </c>
      <c r="C28" s="3">
        <v>10.875030000000001</v>
      </c>
      <c r="D28" s="3">
        <v>71.516940000000005</v>
      </c>
      <c r="E28" s="3">
        <v>75</v>
      </c>
      <c r="F28" s="3">
        <v>17.53002</v>
      </c>
      <c r="G28" s="3">
        <v>151.22309999999999</v>
      </c>
      <c r="H28" s="2"/>
      <c r="I28" s="3"/>
      <c r="J28" s="3"/>
      <c r="K28" s="3"/>
      <c r="S28" s="9">
        <f t="shared" si="4"/>
        <v>-19.800509999999999</v>
      </c>
      <c r="T28" s="4">
        <f t="shared" si="5"/>
        <v>10.875030000000001</v>
      </c>
      <c r="U28" s="4">
        <f t="shared" si="6"/>
        <v>71.516940000000005</v>
      </c>
    </row>
    <row r="29" spans="1:21" x14ac:dyDescent="0.25">
      <c r="A29">
        <v>27</v>
      </c>
      <c r="B29" s="3">
        <v>-22.7393</v>
      </c>
      <c r="C29" s="3">
        <v>2.7198000000000002</v>
      </c>
      <c r="D29" s="3">
        <v>71.417969999999997</v>
      </c>
      <c r="E29" s="3">
        <v>75</v>
      </c>
      <c r="F29" s="3">
        <v>17.779319999999998</v>
      </c>
      <c r="G29" s="3">
        <v>173.17939000000001</v>
      </c>
      <c r="H29" s="2"/>
      <c r="I29" s="3"/>
      <c r="J29" s="3"/>
      <c r="K29" s="3"/>
      <c r="S29" s="9">
        <f t="shared" si="4"/>
        <v>-22.7393</v>
      </c>
      <c r="T29" s="4">
        <f t="shared" si="5"/>
        <v>2.7197900000000002</v>
      </c>
      <c r="U29" s="4">
        <f t="shared" si="6"/>
        <v>71.417969999999997</v>
      </c>
    </row>
    <row r="30" spans="1:21" x14ac:dyDescent="0.25">
      <c r="A30">
        <v>28</v>
      </c>
      <c r="B30" s="3">
        <v>-21.801030000000001</v>
      </c>
      <c r="C30" s="3">
        <v>-4.3007099999999996</v>
      </c>
      <c r="D30" s="3">
        <v>71.632530000000003</v>
      </c>
      <c r="E30" s="3">
        <v>75</v>
      </c>
      <c r="F30" s="3">
        <v>17.234449999999999</v>
      </c>
      <c r="G30" s="3">
        <v>191.15951000000001</v>
      </c>
      <c r="H30" s="2"/>
      <c r="I30" s="3"/>
      <c r="J30" s="3"/>
      <c r="K30" s="3"/>
      <c r="S30" s="9">
        <f t="shared" si="4"/>
        <v>-21.801020000000001</v>
      </c>
      <c r="T30" s="4">
        <f t="shared" si="5"/>
        <v>-4.3007099999999996</v>
      </c>
      <c r="U30" s="4">
        <f t="shared" si="6"/>
        <v>71.632530000000003</v>
      </c>
    </row>
    <row r="31" spans="1:21" x14ac:dyDescent="0.25">
      <c r="A31">
        <v>29</v>
      </c>
      <c r="B31" s="3">
        <v>-19.444430000000001</v>
      </c>
      <c r="C31" s="3">
        <v>-11.486929999999999</v>
      </c>
      <c r="D31" s="3">
        <v>71.518979999999999</v>
      </c>
      <c r="E31" s="3">
        <v>75</v>
      </c>
      <c r="F31" s="3">
        <v>17.52486</v>
      </c>
      <c r="G31" s="3">
        <v>210.57275999999999</v>
      </c>
      <c r="H31" s="2"/>
      <c r="I31" s="3"/>
      <c r="J31" s="3"/>
      <c r="K31" s="3"/>
      <c r="S31" s="9">
        <f t="shared" si="4"/>
        <v>-19.444430000000001</v>
      </c>
      <c r="T31" s="4">
        <f t="shared" si="5"/>
        <v>-11.486929999999999</v>
      </c>
      <c r="U31" s="4">
        <f t="shared" si="6"/>
        <v>71.518979999999999</v>
      </c>
    </row>
    <row r="32" spans="1:21" x14ac:dyDescent="0.25">
      <c r="A32">
        <v>30</v>
      </c>
      <c r="B32" s="3">
        <v>-13.99896</v>
      </c>
      <c r="C32" s="3">
        <v>-16.511869999999998</v>
      </c>
      <c r="D32" s="3">
        <v>71.807990000000004</v>
      </c>
      <c r="E32" s="3">
        <v>75</v>
      </c>
      <c r="F32" s="3">
        <v>16.776119999999999</v>
      </c>
      <c r="G32" s="3">
        <v>229.70832999999999</v>
      </c>
      <c r="H32" s="2"/>
      <c r="I32" s="3"/>
      <c r="J32" s="3"/>
      <c r="K32" s="3"/>
      <c r="S32" s="9">
        <f t="shared" si="4"/>
        <v>-13.998950000000001</v>
      </c>
      <c r="T32" s="4">
        <f t="shared" si="5"/>
        <v>-16.511869999999998</v>
      </c>
      <c r="U32" s="4">
        <f t="shared" si="6"/>
        <v>71.807990000000004</v>
      </c>
    </row>
    <row r="33" spans="1:21" x14ac:dyDescent="0.25">
      <c r="A33">
        <v>31</v>
      </c>
      <c r="B33" s="3">
        <v>-6.84666</v>
      </c>
      <c r="C33" s="3">
        <v>-21.740749999999998</v>
      </c>
      <c r="D33" s="3">
        <v>71.452520000000007</v>
      </c>
      <c r="E33" s="3">
        <v>75</v>
      </c>
      <c r="F33" s="3">
        <v>17.692679999999999</v>
      </c>
      <c r="G33" s="3">
        <v>252.51958999999999</v>
      </c>
      <c r="H33" s="2"/>
      <c r="I33" s="3"/>
      <c r="J33" s="3"/>
      <c r="K33" s="3"/>
      <c r="S33" s="9">
        <f t="shared" si="4"/>
        <v>-6.84666</v>
      </c>
      <c r="T33" s="4">
        <f t="shared" si="5"/>
        <v>-21.740749999999998</v>
      </c>
      <c r="U33" s="4">
        <f t="shared" si="6"/>
        <v>71.452520000000007</v>
      </c>
    </row>
    <row r="34" spans="1:21" x14ac:dyDescent="0.25">
      <c r="A34">
        <v>32</v>
      </c>
      <c r="B34" s="3">
        <v>-0.12947</v>
      </c>
      <c r="C34" s="3">
        <v>-20.547249999999998</v>
      </c>
      <c r="D34" s="3">
        <v>72.130390000000006</v>
      </c>
      <c r="E34" s="3">
        <v>75</v>
      </c>
      <c r="F34" s="3">
        <v>15.90057</v>
      </c>
      <c r="G34" s="3">
        <v>269.63896999999997</v>
      </c>
      <c r="H34" s="2"/>
      <c r="I34" s="3"/>
      <c r="J34" s="3"/>
      <c r="K34" s="3"/>
      <c r="S34" s="9">
        <f t="shared" si="4"/>
        <v>-0.12947</v>
      </c>
      <c r="T34" s="4">
        <f t="shared" si="5"/>
        <v>-20.547249999999998</v>
      </c>
      <c r="U34" s="4">
        <f t="shared" si="6"/>
        <v>72.130390000000006</v>
      </c>
    </row>
    <row r="35" spans="1:21" x14ac:dyDescent="0.25">
      <c r="A35">
        <v>33</v>
      </c>
      <c r="B35" s="3">
        <v>6.5176699999999999</v>
      </c>
      <c r="C35" s="3">
        <v>-20.77167</v>
      </c>
      <c r="D35" s="3">
        <v>71.770870000000002</v>
      </c>
      <c r="E35" s="3">
        <v>75</v>
      </c>
      <c r="F35" s="3">
        <v>16.874099999999999</v>
      </c>
      <c r="G35" s="3">
        <v>287.42063999999999</v>
      </c>
      <c r="H35" s="2"/>
      <c r="I35" s="3"/>
      <c r="J35" s="3"/>
      <c r="K35" s="3"/>
      <c r="S35" s="9">
        <f t="shared" si="4"/>
        <v>6.5176699999999999</v>
      </c>
      <c r="T35" s="4">
        <f t="shared" si="5"/>
        <v>-20.77168</v>
      </c>
      <c r="U35" s="4">
        <f t="shared" si="6"/>
        <v>71.770870000000002</v>
      </c>
    </row>
    <row r="36" spans="1:21" x14ac:dyDescent="0.25">
      <c r="A36">
        <v>34</v>
      </c>
      <c r="B36" s="3">
        <v>14.01201</v>
      </c>
      <c r="C36" s="3">
        <v>-18.588840000000001</v>
      </c>
      <c r="D36" s="3">
        <v>71.295990000000003</v>
      </c>
      <c r="E36" s="3">
        <v>75</v>
      </c>
      <c r="F36" s="3">
        <v>18.08201</v>
      </c>
      <c r="G36" s="3">
        <v>307.00848000000002</v>
      </c>
      <c r="H36" s="2"/>
      <c r="I36" s="3"/>
      <c r="J36" s="3"/>
      <c r="K36" s="3"/>
      <c r="S36" s="9">
        <f t="shared" si="4"/>
        <v>14.01201</v>
      </c>
      <c r="T36" s="4">
        <f t="shared" si="5"/>
        <v>-18.588840000000001</v>
      </c>
      <c r="U36" s="4">
        <f t="shared" si="6"/>
        <v>71.295990000000003</v>
      </c>
    </row>
    <row r="37" spans="1:21" x14ac:dyDescent="0.25">
      <c r="A37">
        <v>35</v>
      </c>
      <c r="B37" s="3">
        <v>19.19171</v>
      </c>
      <c r="C37" s="3">
        <v>-12.553509999999999</v>
      </c>
      <c r="D37" s="3">
        <v>71.407899999999998</v>
      </c>
      <c r="E37" s="3">
        <v>75</v>
      </c>
      <c r="F37" s="3">
        <v>17.80452</v>
      </c>
      <c r="G37" s="3">
        <v>326.81085000000002</v>
      </c>
      <c r="H37" s="2"/>
      <c r="I37" s="3"/>
      <c r="J37" s="3"/>
      <c r="K37" s="3"/>
      <c r="S37" s="9">
        <f t="shared" si="4"/>
        <v>19.19171</v>
      </c>
      <c r="T37" s="4">
        <f t="shared" si="5"/>
        <v>-12.553509999999999</v>
      </c>
      <c r="U37" s="4">
        <f t="shared" si="6"/>
        <v>71.407899999999998</v>
      </c>
    </row>
    <row r="38" spans="1:21" x14ac:dyDescent="0.25">
      <c r="A38">
        <v>36</v>
      </c>
      <c r="B38" s="3">
        <v>19.52075</v>
      </c>
      <c r="C38" s="3">
        <v>-4.6997299999999997</v>
      </c>
      <c r="D38" s="3">
        <v>72.262389999999996</v>
      </c>
      <c r="E38" s="3">
        <v>75</v>
      </c>
      <c r="F38" s="3">
        <v>15.52826</v>
      </c>
      <c r="G38" s="3">
        <v>346.46332999999998</v>
      </c>
      <c r="H38" s="2"/>
      <c r="I38" s="3"/>
      <c r="J38" s="3"/>
      <c r="K38" s="3"/>
      <c r="S38" s="9">
        <f t="shared" si="4"/>
        <v>19.52075</v>
      </c>
      <c r="T38" s="4">
        <f t="shared" si="5"/>
        <v>-4.6997299999999997</v>
      </c>
      <c r="U38" s="4">
        <f t="shared" si="6"/>
        <v>72.262389999999996</v>
      </c>
    </row>
    <row r="39" spans="1:21" x14ac:dyDescent="0.25">
      <c r="A39">
        <v>37</v>
      </c>
      <c r="B39" s="3">
        <v>23.429269999999999</v>
      </c>
      <c r="C39" s="3">
        <v>0.81393000000000004</v>
      </c>
      <c r="D39" s="3">
        <v>71.241889999999998</v>
      </c>
      <c r="E39" s="3">
        <v>75</v>
      </c>
      <c r="F39" s="3">
        <v>18.214700000000001</v>
      </c>
      <c r="G39" s="3">
        <v>1.98966</v>
      </c>
      <c r="H39" s="2"/>
      <c r="I39" s="3"/>
      <c r="J39" s="3"/>
      <c r="K39" s="3"/>
      <c r="S39" s="9">
        <f t="shared" si="4"/>
        <v>23.429259999999999</v>
      </c>
      <c r="T39" s="4">
        <f t="shared" si="5"/>
        <v>0.81393000000000004</v>
      </c>
      <c r="U39" s="4">
        <f t="shared" si="6"/>
        <v>71.241889999999998</v>
      </c>
    </row>
    <row r="40" spans="1:21" x14ac:dyDescent="0.25">
      <c r="A40">
        <v>38</v>
      </c>
      <c r="B40" s="3">
        <v>19.703569999999999</v>
      </c>
      <c r="C40" s="3">
        <v>6.58249</v>
      </c>
      <c r="D40" s="3">
        <v>72.065529999999995</v>
      </c>
      <c r="E40" s="3">
        <v>75</v>
      </c>
      <c r="F40" s="3">
        <v>16.080459999999999</v>
      </c>
      <c r="G40" s="3">
        <v>18.473240000000001</v>
      </c>
      <c r="H40" s="2"/>
      <c r="I40" s="3"/>
      <c r="J40" s="3"/>
      <c r="K40" s="3"/>
      <c r="S40" s="9">
        <f t="shared" si="4"/>
        <v>19.703569999999999</v>
      </c>
      <c r="T40" s="4">
        <f t="shared" si="5"/>
        <v>6.58249</v>
      </c>
      <c r="U40" s="4">
        <f t="shared" si="6"/>
        <v>72.065529999999995</v>
      </c>
    </row>
    <row r="41" spans="1:21" x14ac:dyDescent="0.25">
      <c r="A41">
        <v>39</v>
      </c>
      <c r="B41" s="3">
        <v>17.03237</v>
      </c>
      <c r="C41" s="3">
        <v>24.041239999999998</v>
      </c>
      <c r="D41" s="3">
        <v>68.970410000000001</v>
      </c>
      <c r="E41" s="3">
        <v>75</v>
      </c>
      <c r="F41" s="3">
        <v>23.131540000000001</v>
      </c>
      <c r="G41" s="3">
        <v>54.683779999999999</v>
      </c>
      <c r="H41" s="2"/>
      <c r="I41" s="3"/>
      <c r="J41" s="3"/>
      <c r="K41" s="3"/>
      <c r="S41" s="9">
        <f t="shared" si="4"/>
        <v>17.03237</v>
      </c>
      <c r="T41" s="4">
        <f t="shared" si="5"/>
        <v>24.041250000000002</v>
      </c>
      <c r="U41" s="4">
        <f t="shared" si="6"/>
        <v>68.970399999999998</v>
      </c>
    </row>
    <row r="42" spans="1:21" x14ac:dyDescent="0.25">
      <c r="A42">
        <v>40</v>
      </c>
      <c r="B42" s="3">
        <v>10.45518</v>
      </c>
      <c r="C42" s="3">
        <v>22.99776</v>
      </c>
      <c r="D42" s="3">
        <v>70.617220000000003</v>
      </c>
      <c r="E42" s="3">
        <v>75</v>
      </c>
      <c r="F42" s="3">
        <v>19.684280000000001</v>
      </c>
      <c r="G42" s="3">
        <v>65.552639999999997</v>
      </c>
      <c r="H42" s="2"/>
      <c r="I42" s="3"/>
      <c r="J42" s="3"/>
      <c r="K42" s="3"/>
      <c r="S42" s="9">
        <f t="shared" si="4"/>
        <v>10.45518</v>
      </c>
      <c r="T42" s="4">
        <f t="shared" si="5"/>
        <v>22.99776</v>
      </c>
      <c r="U42" s="4">
        <f t="shared" si="6"/>
        <v>70.617220000000003</v>
      </c>
    </row>
    <row r="43" spans="1:21" x14ac:dyDescent="0.25">
      <c r="A43">
        <v>41</v>
      </c>
      <c r="B43" s="3">
        <v>6.0753199999999996</v>
      </c>
      <c r="C43" s="3">
        <v>28.574149999999999</v>
      </c>
      <c r="D43" s="3">
        <v>69.076830000000001</v>
      </c>
      <c r="E43" s="3">
        <v>75</v>
      </c>
      <c r="F43" s="3">
        <v>22.9237</v>
      </c>
      <c r="G43" s="3">
        <v>77.996750000000006</v>
      </c>
      <c r="H43" s="2"/>
      <c r="I43" s="3"/>
      <c r="J43" s="3"/>
      <c r="K43" s="3"/>
      <c r="S43" s="9">
        <f t="shared" si="4"/>
        <v>6.0753199999999996</v>
      </c>
      <c r="T43" s="4">
        <f t="shared" si="5"/>
        <v>28.574159999999999</v>
      </c>
      <c r="U43" s="4">
        <f t="shared" si="6"/>
        <v>69.076830000000001</v>
      </c>
    </row>
    <row r="44" spans="1:21" x14ac:dyDescent="0.25">
      <c r="A44">
        <v>42</v>
      </c>
      <c r="B44" s="3">
        <v>-0.82418999999999998</v>
      </c>
      <c r="C44" s="3">
        <v>29.717870000000001</v>
      </c>
      <c r="D44" s="3">
        <v>68.85615</v>
      </c>
      <c r="E44" s="3">
        <v>75</v>
      </c>
      <c r="F44" s="3">
        <v>23.352730000000001</v>
      </c>
      <c r="G44" s="3">
        <v>91.588620000000006</v>
      </c>
      <c r="H44" s="2"/>
      <c r="I44" s="3"/>
      <c r="J44" s="3"/>
      <c r="K44" s="3"/>
      <c r="S44" s="9">
        <f t="shared" si="4"/>
        <v>-0.82418999999999998</v>
      </c>
      <c r="T44" s="4">
        <f t="shared" si="5"/>
        <v>29.717870000000001</v>
      </c>
      <c r="U44" s="4">
        <f t="shared" si="6"/>
        <v>68.85615</v>
      </c>
    </row>
    <row r="45" spans="1:21" x14ac:dyDescent="0.25">
      <c r="A45">
        <v>43</v>
      </c>
      <c r="B45" s="3">
        <v>-7.6511500000000003</v>
      </c>
      <c r="C45" s="3">
        <v>28.388210000000001</v>
      </c>
      <c r="D45" s="3">
        <v>68.996880000000004</v>
      </c>
      <c r="E45" s="3">
        <v>75</v>
      </c>
      <c r="F45" s="3">
        <v>23.08</v>
      </c>
      <c r="G45" s="3">
        <v>105.08387</v>
      </c>
      <c r="H45" s="2"/>
      <c r="I45" s="3"/>
      <c r="J45" s="3"/>
      <c r="K45" s="3"/>
      <c r="S45" s="9">
        <f t="shared" si="4"/>
        <v>-7.6511500000000003</v>
      </c>
      <c r="T45" s="4">
        <f t="shared" si="5"/>
        <v>28.388210000000001</v>
      </c>
      <c r="U45" s="4">
        <f t="shared" si="6"/>
        <v>68.996880000000004</v>
      </c>
    </row>
    <row r="46" spans="1:21" x14ac:dyDescent="0.25">
      <c r="A46">
        <v>44</v>
      </c>
      <c r="B46" s="3">
        <v>-14.046279999999999</v>
      </c>
      <c r="C46" s="3">
        <v>25.929320000000001</v>
      </c>
      <c r="D46" s="3">
        <v>68.959209999999999</v>
      </c>
      <c r="E46" s="3">
        <v>75</v>
      </c>
      <c r="F46" s="3">
        <v>23.153300000000002</v>
      </c>
      <c r="G46" s="3">
        <v>118.44503</v>
      </c>
      <c r="H46" s="2"/>
      <c r="I46" s="3"/>
      <c r="J46" s="3"/>
      <c r="K46" s="3"/>
      <c r="S46" s="9">
        <f t="shared" si="4"/>
        <v>-14.046279999999999</v>
      </c>
      <c r="T46" s="4">
        <f t="shared" si="5"/>
        <v>25.929320000000001</v>
      </c>
      <c r="U46" s="4">
        <f t="shared" si="6"/>
        <v>68.959209999999999</v>
      </c>
    </row>
    <row r="47" spans="1:21" x14ac:dyDescent="0.25">
      <c r="A47">
        <v>45</v>
      </c>
      <c r="B47" s="3">
        <v>-21.14059</v>
      </c>
      <c r="C47" s="3">
        <v>20.68947</v>
      </c>
      <c r="D47" s="3">
        <v>68.920400000000001</v>
      </c>
      <c r="E47" s="3">
        <v>75</v>
      </c>
      <c r="F47" s="3">
        <v>23.228590000000001</v>
      </c>
      <c r="G47" s="3">
        <v>135.61788000000001</v>
      </c>
      <c r="H47" s="2"/>
      <c r="I47" s="3"/>
      <c r="J47" s="3"/>
      <c r="K47" s="3"/>
      <c r="S47" s="9">
        <f t="shared" si="4"/>
        <v>-21.14059</v>
      </c>
      <c r="T47" s="4">
        <f t="shared" si="5"/>
        <v>20.68947</v>
      </c>
      <c r="U47" s="4">
        <f t="shared" si="6"/>
        <v>68.920400000000001</v>
      </c>
    </row>
    <row r="48" spans="1:21" x14ac:dyDescent="0.25">
      <c r="A48">
        <v>46</v>
      </c>
      <c r="B48" s="3">
        <v>-25.090070000000001</v>
      </c>
      <c r="C48" s="3">
        <v>13.957470000000001</v>
      </c>
      <c r="D48" s="3">
        <v>69.286919999999995</v>
      </c>
      <c r="E48" s="3">
        <v>75</v>
      </c>
      <c r="F48" s="3">
        <v>22.50807</v>
      </c>
      <c r="G48" s="3">
        <v>150.91305</v>
      </c>
      <c r="H48" s="2"/>
      <c r="I48" s="3"/>
      <c r="J48" s="3"/>
      <c r="K48" s="3"/>
      <c r="S48" s="9">
        <f t="shared" si="4"/>
        <v>-25.090070000000001</v>
      </c>
      <c r="T48" s="4">
        <f t="shared" si="5"/>
        <v>13.957470000000001</v>
      </c>
      <c r="U48" s="4">
        <f t="shared" si="6"/>
        <v>69.286919999999995</v>
      </c>
    </row>
    <row r="49" spans="1:21" x14ac:dyDescent="0.25">
      <c r="A49">
        <v>47</v>
      </c>
      <c r="B49" s="3">
        <v>-28.378579999999999</v>
      </c>
      <c r="C49" s="3">
        <v>7.1368999999999998</v>
      </c>
      <c r="D49" s="3">
        <v>69.055930000000004</v>
      </c>
      <c r="E49" s="3">
        <v>75</v>
      </c>
      <c r="F49" s="3">
        <v>22.964659999999999</v>
      </c>
      <c r="G49" s="3">
        <v>165.8835</v>
      </c>
      <c r="H49" s="2"/>
      <c r="I49" s="3"/>
      <c r="J49" s="3"/>
      <c r="K49" s="3"/>
      <c r="S49" s="9">
        <f t="shared" si="4"/>
        <v>-28.378579999999999</v>
      </c>
      <c r="T49" s="4">
        <f t="shared" si="5"/>
        <v>7.1368999999999998</v>
      </c>
      <c r="U49" s="4">
        <f t="shared" si="6"/>
        <v>69.055930000000004</v>
      </c>
    </row>
    <row r="50" spans="1:21" x14ac:dyDescent="0.25">
      <c r="A50">
        <v>48</v>
      </c>
      <c r="B50" s="3">
        <v>-29.60455</v>
      </c>
      <c r="C50" s="3">
        <v>0.59724999999999995</v>
      </c>
      <c r="D50" s="3">
        <v>68.907290000000003</v>
      </c>
      <c r="E50" s="3">
        <v>75</v>
      </c>
      <c r="F50" s="3">
        <v>23.253979999999999</v>
      </c>
      <c r="G50" s="3">
        <v>178.84425999999999</v>
      </c>
      <c r="H50" s="2"/>
      <c r="I50" s="3"/>
      <c r="J50" s="3"/>
      <c r="K50" s="3"/>
      <c r="S50" s="9">
        <f t="shared" si="4"/>
        <v>-29.60455</v>
      </c>
      <c r="T50" s="4">
        <f t="shared" si="5"/>
        <v>0.59724999999999995</v>
      </c>
      <c r="U50" s="4">
        <f t="shared" si="6"/>
        <v>68.90728</v>
      </c>
    </row>
    <row r="51" spans="1:21" x14ac:dyDescent="0.25">
      <c r="A51">
        <v>49</v>
      </c>
      <c r="B51" s="3">
        <v>-28.538039999999999</v>
      </c>
      <c r="C51" s="3">
        <v>-6.6743899999999998</v>
      </c>
      <c r="D51" s="3">
        <v>69.036460000000005</v>
      </c>
      <c r="E51" s="3">
        <v>75</v>
      </c>
      <c r="F51" s="3">
        <v>23.002739999999999</v>
      </c>
      <c r="G51" s="3">
        <v>193.16354999999999</v>
      </c>
      <c r="H51" s="2"/>
      <c r="I51" s="3"/>
      <c r="J51" s="3"/>
      <c r="K51" s="3"/>
      <c r="S51" s="9">
        <f t="shared" si="4"/>
        <v>-28.538029999999999</v>
      </c>
      <c r="T51" s="4">
        <f t="shared" si="5"/>
        <v>-6.6743800000000002</v>
      </c>
      <c r="U51" s="4">
        <f t="shared" si="6"/>
        <v>69.036460000000005</v>
      </c>
    </row>
    <row r="52" spans="1:21" x14ac:dyDescent="0.25">
      <c r="A52">
        <v>50</v>
      </c>
      <c r="B52" s="3">
        <v>-25.792490000000001</v>
      </c>
      <c r="C52" s="3">
        <v>-12.68695</v>
      </c>
      <c r="D52" s="3">
        <v>69.273290000000003</v>
      </c>
      <c r="E52" s="3">
        <v>75</v>
      </c>
      <c r="F52" s="3">
        <v>22.535260000000001</v>
      </c>
      <c r="G52" s="3">
        <v>206.19191000000001</v>
      </c>
      <c r="H52" s="2"/>
      <c r="I52" s="3"/>
      <c r="J52" s="3"/>
      <c r="K52" s="3"/>
      <c r="S52" s="9">
        <f t="shared" si="4"/>
        <v>-25.792490000000001</v>
      </c>
      <c r="T52" s="4">
        <f t="shared" si="5"/>
        <v>-12.686959999999999</v>
      </c>
      <c r="U52" s="4">
        <f t="shared" si="6"/>
        <v>69.273290000000003</v>
      </c>
    </row>
    <row r="53" spans="1:21" x14ac:dyDescent="0.25">
      <c r="A53">
        <v>51</v>
      </c>
      <c r="B53" s="3">
        <v>-21.00198</v>
      </c>
      <c r="C53" s="3">
        <v>-18.012830000000001</v>
      </c>
      <c r="D53" s="3">
        <v>69.709789999999998</v>
      </c>
      <c r="E53" s="3">
        <v>75</v>
      </c>
      <c r="F53" s="3">
        <v>21.648610000000001</v>
      </c>
      <c r="G53" s="3">
        <v>220.61879999999999</v>
      </c>
      <c r="H53" s="2"/>
      <c r="I53" s="3"/>
      <c r="J53" s="3"/>
      <c r="K53" s="3"/>
      <c r="S53" s="9">
        <f t="shared" si="4"/>
        <v>-21.00198</v>
      </c>
      <c r="T53" s="4">
        <f t="shared" si="5"/>
        <v>-18.012830000000001</v>
      </c>
      <c r="U53" s="4">
        <f t="shared" si="6"/>
        <v>69.709789999999998</v>
      </c>
    </row>
    <row r="54" spans="1:21" x14ac:dyDescent="0.25">
      <c r="A54">
        <v>52</v>
      </c>
      <c r="B54" s="3">
        <v>-17.176559999999998</v>
      </c>
      <c r="C54" s="3">
        <v>-23.867540000000002</v>
      </c>
      <c r="D54" s="3">
        <v>68.994969999999995</v>
      </c>
      <c r="E54" s="3">
        <v>75</v>
      </c>
      <c r="F54" s="3">
        <v>23.08371</v>
      </c>
      <c r="G54" s="3">
        <v>234.25888</v>
      </c>
      <c r="H54" s="2"/>
      <c r="I54" s="3"/>
      <c r="J54" s="3"/>
      <c r="K54" s="3"/>
      <c r="S54" s="9">
        <f t="shared" si="4"/>
        <v>-17.176549999999999</v>
      </c>
      <c r="T54" s="4">
        <f t="shared" si="5"/>
        <v>-23.867540000000002</v>
      </c>
      <c r="U54" s="4">
        <f t="shared" si="6"/>
        <v>68.994979999999998</v>
      </c>
    </row>
    <row r="55" spans="1:21" x14ac:dyDescent="0.25">
      <c r="A55">
        <v>53</v>
      </c>
      <c r="B55" s="3">
        <v>-9.8367599999999999</v>
      </c>
      <c r="C55" s="3">
        <v>-27.781300000000002</v>
      </c>
      <c r="D55" s="3">
        <v>68.966930000000005</v>
      </c>
      <c r="E55" s="3">
        <v>75</v>
      </c>
      <c r="F55" s="3">
        <v>23.138290000000001</v>
      </c>
      <c r="G55" s="3">
        <v>250.50205</v>
      </c>
      <c r="H55" s="2"/>
      <c r="I55" s="3"/>
      <c r="J55" s="3"/>
      <c r="K55" s="3"/>
      <c r="S55" s="9">
        <f t="shared" si="4"/>
        <v>-9.8367500000000003</v>
      </c>
      <c r="T55" s="4">
        <f t="shared" si="5"/>
        <v>-27.781300000000002</v>
      </c>
      <c r="U55" s="4">
        <f t="shared" si="6"/>
        <v>68.966930000000005</v>
      </c>
    </row>
    <row r="56" spans="1:21" x14ac:dyDescent="0.25">
      <c r="A56">
        <v>54</v>
      </c>
      <c r="B56" s="3">
        <v>-1.41906</v>
      </c>
      <c r="C56" s="3">
        <v>-28.84864</v>
      </c>
      <c r="D56" s="3">
        <v>69.215190000000007</v>
      </c>
      <c r="E56" s="3">
        <v>75</v>
      </c>
      <c r="F56" s="3">
        <v>22.650790000000001</v>
      </c>
      <c r="G56" s="3">
        <v>267.18389999999999</v>
      </c>
      <c r="H56" s="2"/>
      <c r="I56" s="3"/>
      <c r="J56" s="3"/>
      <c r="K56" s="3"/>
      <c r="S56" s="9">
        <f t="shared" si="4"/>
        <v>-1.41906</v>
      </c>
      <c r="T56" s="4">
        <f t="shared" si="5"/>
        <v>-28.84864</v>
      </c>
      <c r="U56" s="4">
        <f t="shared" si="6"/>
        <v>69.215190000000007</v>
      </c>
    </row>
    <row r="57" spans="1:21" x14ac:dyDescent="0.25">
      <c r="A57">
        <v>55</v>
      </c>
      <c r="B57" s="3">
        <v>4.9176599999999997</v>
      </c>
      <c r="C57" s="3">
        <v>-26.819700000000001</v>
      </c>
      <c r="D57" s="3">
        <v>69.86788</v>
      </c>
      <c r="E57" s="3">
        <v>75</v>
      </c>
      <c r="F57" s="3">
        <v>21.318840000000002</v>
      </c>
      <c r="G57" s="3">
        <v>280.39033999999998</v>
      </c>
      <c r="H57" s="2"/>
      <c r="I57" s="3"/>
      <c r="J57" s="3"/>
      <c r="K57" s="3"/>
      <c r="S57" s="9">
        <f t="shared" si="4"/>
        <v>4.9176599999999997</v>
      </c>
      <c r="T57" s="4">
        <f t="shared" si="5"/>
        <v>-26.819690000000001</v>
      </c>
      <c r="U57" s="4">
        <f t="shared" si="6"/>
        <v>69.86788</v>
      </c>
    </row>
    <row r="58" spans="1:21" x14ac:dyDescent="0.25">
      <c r="A58">
        <v>56</v>
      </c>
      <c r="B58" s="3">
        <v>12.809279999999999</v>
      </c>
      <c r="C58" s="3">
        <v>-26.0138</v>
      </c>
      <c r="D58" s="3">
        <v>69.167950000000005</v>
      </c>
      <c r="E58" s="3">
        <v>75</v>
      </c>
      <c r="F58" s="3">
        <v>22.744319999999998</v>
      </c>
      <c r="G58" s="3">
        <v>296.21578</v>
      </c>
      <c r="H58" s="2"/>
      <c r="I58" s="3"/>
      <c r="J58" s="3"/>
      <c r="K58" s="3"/>
      <c r="S58" s="9">
        <f t="shared" si="4"/>
        <v>12.80927</v>
      </c>
      <c r="T58" s="4">
        <f t="shared" si="5"/>
        <v>-26.01379</v>
      </c>
      <c r="U58" s="4">
        <f t="shared" si="6"/>
        <v>69.167950000000005</v>
      </c>
    </row>
    <row r="59" spans="1:21" x14ac:dyDescent="0.25">
      <c r="A59">
        <v>57</v>
      </c>
      <c r="B59" s="3">
        <v>20.33577</v>
      </c>
      <c r="C59" s="3">
        <v>-20.132629999999999</v>
      </c>
      <c r="D59" s="3">
        <v>69.326279999999997</v>
      </c>
      <c r="E59" s="3">
        <v>75</v>
      </c>
      <c r="F59" s="3">
        <v>22.429390000000001</v>
      </c>
      <c r="G59" s="3">
        <v>315.28760999999997</v>
      </c>
      <c r="H59" s="2"/>
      <c r="I59" s="3"/>
      <c r="J59" s="3"/>
      <c r="K59" s="3"/>
      <c r="S59" s="9">
        <f t="shared" si="4"/>
        <v>20.33577</v>
      </c>
      <c r="T59" s="4">
        <f t="shared" si="5"/>
        <v>-20.132629999999999</v>
      </c>
      <c r="U59" s="4">
        <f t="shared" si="6"/>
        <v>69.326279999999997</v>
      </c>
    </row>
    <row r="60" spans="1:21" x14ac:dyDescent="0.25">
      <c r="A60">
        <v>58</v>
      </c>
      <c r="B60" s="3">
        <v>25.827539999999999</v>
      </c>
      <c r="C60" s="3">
        <v>-13.86885</v>
      </c>
      <c r="D60" s="3">
        <v>69.033270000000002</v>
      </c>
      <c r="E60" s="3">
        <v>75</v>
      </c>
      <c r="F60" s="3">
        <v>23.008970000000001</v>
      </c>
      <c r="G60" s="3">
        <v>331.76513</v>
      </c>
      <c r="H60" s="2"/>
      <c r="I60" s="3"/>
      <c r="J60" s="3"/>
      <c r="K60" s="3"/>
      <c r="S60" s="9">
        <f t="shared" si="4"/>
        <v>25.827539999999999</v>
      </c>
      <c r="T60" s="4">
        <f t="shared" si="5"/>
        <v>-13.86885</v>
      </c>
      <c r="U60" s="4">
        <f t="shared" si="6"/>
        <v>69.033280000000005</v>
      </c>
    </row>
    <row r="61" spans="1:21" x14ac:dyDescent="0.25">
      <c r="A61">
        <v>59</v>
      </c>
      <c r="B61" s="3">
        <v>26.003450000000001</v>
      </c>
      <c r="C61" s="3">
        <v>-6.4440999999999997</v>
      </c>
      <c r="D61" s="3">
        <v>70.052080000000004</v>
      </c>
      <c r="E61" s="3">
        <v>75</v>
      </c>
      <c r="F61" s="3">
        <v>20.928370000000001</v>
      </c>
      <c r="G61" s="3">
        <v>346.08152999999999</v>
      </c>
      <c r="H61" s="2"/>
      <c r="I61" s="3"/>
      <c r="J61" s="3"/>
      <c r="K61" s="3"/>
      <c r="S61" s="9">
        <f t="shared" si="4"/>
        <v>26.00346</v>
      </c>
      <c r="T61" s="4">
        <f t="shared" si="5"/>
        <v>-6.4440999999999997</v>
      </c>
      <c r="U61" s="4">
        <f t="shared" si="6"/>
        <v>70.052080000000004</v>
      </c>
    </row>
    <row r="62" spans="1:21" x14ac:dyDescent="0.25">
      <c r="A62">
        <v>60</v>
      </c>
      <c r="B62" s="3">
        <v>29.841529999999999</v>
      </c>
      <c r="C62" s="3">
        <v>-1.19154</v>
      </c>
      <c r="D62" s="3">
        <v>68.797259999999994</v>
      </c>
      <c r="E62" s="3">
        <v>75</v>
      </c>
      <c r="F62" s="3">
        <v>23.465959999999999</v>
      </c>
      <c r="G62" s="3">
        <v>357.71345000000002</v>
      </c>
      <c r="H62" s="2"/>
      <c r="I62" s="3"/>
      <c r="J62" s="3"/>
      <c r="K62" s="3"/>
      <c r="S62" s="9">
        <f t="shared" si="4"/>
        <v>29.841529999999999</v>
      </c>
      <c r="T62" s="4">
        <f t="shared" si="5"/>
        <v>-1.19154</v>
      </c>
      <c r="U62" s="4">
        <f t="shared" si="6"/>
        <v>68.797259999999994</v>
      </c>
    </row>
    <row r="63" spans="1:21" x14ac:dyDescent="0.25">
      <c r="A63">
        <v>61</v>
      </c>
      <c r="B63" s="3">
        <v>28.545280000000002</v>
      </c>
      <c r="C63" s="3">
        <v>5.2261499999999996</v>
      </c>
      <c r="D63" s="3">
        <v>69.158180000000002</v>
      </c>
      <c r="E63" s="3">
        <v>75</v>
      </c>
      <c r="F63" s="3">
        <v>22.76361</v>
      </c>
      <c r="G63" s="3">
        <v>10.374969999999999</v>
      </c>
      <c r="H63" s="2"/>
      <c r="I63" s="3"/>
      <c r="J63" s="3"/>
      <c r="K63" s="3"/>
      <c r="S63" s="9">
        <f t="shared" si="4"/>
        <v>28.545280000000002</v>
      </c>
      <c r="T63" s="4">
        <f t="shared" si="5"/>
        <v>5.2261499999999996</v>
      </c>
      <c r="U63" s="4">
        <f t="shared" si="6"/>
        <v>69.158180000000002</v>
      </c>
    </row>
    <row r="64" spans="1:21" x14ac:dyDescent="0.25">
      <c r="A64">
        <v>62</v>
      </c>
      <c r="B64" s="3">
        <v>24.016400000000001</v>
      </c>
      <c r="C64" s="3">
        <v>11.441739999999999</v>
      </c>
      <c r="D64" s="3">
        <v>70.123459999999994</v>
      </c>
      <c r="E64" s="3">
        <v>75</v>
      </c>
      <c r="F64" s="3">
        <v>20.775179999999999</v>
      </c>
      <c r="G64" s="3">
        <v>25.473769999999998</v>
      </c>
      <c r="H64" s="2"/>
      <c r="I64" s="3"/>
      <c r="J64" s="3"/>
      <c r="K64" s="3"/>
      <c r="S64" s="9">
        <f t="shared" si="4"/>
        <v>24.016400000000001</v>
      </c>
      <c r="T64" s="4">
        <f t="shared" si="5"/>
        <v>11.441739999999999</v>
      </c>
      <c r="U64" s="4">
        <f t="shared" si="6"/>
        <v>70.123459999999994</v>
      </c>
    </row>
    <row r="65" spans="1:21" x14ac:dyDescent="0.25">
      <c r="A65">
        <v>63</v>
      </c>
      <c r="B65" s="3">
        <v>21.739070000000002</v>
      </c>
      <c r="C65" s="3">
        <v>18.722439999999999</v>
      </c>
      <c r="D65" s="3">
        <v>69.29562</v>
      </c>
      <c r="E65" s="3">
        <v>75</v>
      </c>
      <c r="F65" s="3">
        <v>22.4907</v>
      </c>
      <c r="G65" s="3">
        <v>40.736170000000001</v>
      </c>
      <c r="H65" s="2"/>
      <c r="I65" s="3"/>
      <c r="J65" s="3"/>
      <c r="K65" s="3"/>
      <c r="S65" s="9">
        <f t="shared" si="4"/>
        <v>21.739070000000002</v>
      </c>
      <c r="T65" s="4">
        <f t="shared" si="5"/>
        <v>18.722439999999999</v>
      </c>
      <c r="U65" s="4">
        <f t="shared" si="6"/>
        <v>69.29562</v>
      </c>
    </row>
    <row r="66" spans="1:21" x14ac:dyDescent="0.25">
      <c r="A66"/>
      <c r="B66" s="3"/>
      <c r="C66" s="3"/>
      <c r="D66" s="3"/>
      <c r="E66" s="3"/>
      <c r="F66" s="3"/>
      <c r="G66" s="3"/>
      <c r="H66" s="2"/>
      <c r="I66" s="3"/>
      <c r="J66" s="3"/>
      <c r="K66" s="3"/>
      <c r="S66" s="9"/>
    </row>
    <row r="67" spans="1:21" x14ac:dyDescent="0.25">
      <c r="A67" s="6" t="s">
        <v>6</v>
      </c>
      <c r="B67" s="7" t="s">
        <v>3</v>
      </c>
      <c r="C67" s="7" t="s">
        <v>4</v>
      </c>
      <c r="D67" s="7" t="s">
        <v>5</v>
      </c>
      <c r="E67" s="7" t="s">
        <v>0</v>
      </c>
      <c r="F67" s="7" t="s">
        <v>1</v>
      </c>
      <c r="G67" s="7" t="s">
        <v>2</v>
      </c>
      <c r="H67" s="1"/>
      <c r="I67" s="1"/>
      <c r="J67" s="1"/>
      <c r="K67" s="1"/>
    </row>
    <row r="68" spans="1:21" x14ac:dyDescent="0.25">
      <c r="A68">
        <v>0</v>
      </c>
      <c r="B68" s="3">
        <v>0</v>
      </c>
      <c r="C68" s="3">
        <v>0</v>
      </c>
      <c r="D68" s="3">
        <v>75</v>
      </c>
      <c r="E68" s="3">
        <v>75</v>
      </c>
      <c r="F68" s="3">
        <v>0</v>
      </c>
      <c r="G68" s="3">
        <v>0</v>
      </c>
      <c r="H68" s="2"/>
      <c r="I68" s="3"/>
      <c r="J68" s="3"/>
      <c r="K68" s="3"/>
    </row>
    <row r="69" spans="1:21" x14ac:dyDescent="0.25">
      <c r="A69"/>
      <c r="B69" s="3"/>
      <c r="C69" s="3"/>
      <c r="D69" s="3"/>
      <c r="E69" s="3"/>
      <c r="F69" s="3"/>
      <c r="G69" s="3"/>
      <c r="H69" s="2"/>
      <c r="I69" s="3"/>
      <c r="J69" s="3"/>
      <c r="K69" s="3"/>
    </row>
    <row r="70" spans="1:21" x14ac:dyDescent="0.25">
      <c r="A70"/>
      <c r="B70" s="3"/>
      <c r="C70" s="3"/>
      <c r="D70" s="3"/>
      <c r="E70" s="3"/>
      <c r="F70" s="3"/>
      <c r="G70" s="3"/>
      <c r="H70" s="2"/>
      <c r="I70" s="3"/>
      <c r="J70" s="3"/>
      <c r="K70" s="3"/>
    </row>
    <row r="71" spans="1:21" x14ac:dyDescent="0.25">
      <c r="A71"/>
      <c r="B71" s="3"/>
      <c r="C71" s="3"/>
      <c r="D71" s="3"/>
      <c r="E71" s="3"/>
      <c r="F71" s="3"/>
      <c r="G71" s="3"/>
      <c r="H71" s="2"/>
      <c r="I71" s="3"/>
      <c r="J71" s="3"/>
      <c r="K71" s="3"/>
    </row>
  </sheetData>
  <conditionalFormatting sqref="S2:U66">
    <cfRule type="expression" dxfId="0" priority="1">
      <formula>ABS(S2-B2)&gt;0.001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TR64pcd1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</cp:lastModifiedBy>
  <dcterms:created xsi:type="dcterms:W3CDTF">2006-07-13T15:34:53Z</dcterms:created>
  <dcterms:modified xsi:type="dcterms:W3CDTF">2025-01-24T16:28:16Z</dcterms:modified>
</cp:coreProperties>
</file>